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OI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Panduan_Metodolo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b val="1"/>
      <color rgb="000369A1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i val="1"/>
      <color rgb="00E0E7FF"/>
      <sz val="11"/>
    </font>
    <font>
      <name val="Calibri"/>
      <b val="1"/>
      <color rgb="000F172A"/>
      <sz val="12"/>
    </font>
  </fonts>
  <fills count="1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0284C7"/>
        <bgColor rgb="000284C7"/>
      </patternFill>
    </fill>
    <fill>
      <patternFill patternType="solid">
        <fgColor rgb="00F0FDF4"/>
        <bgColor rgb="00F0FDF4"/>
      </patternFill>
    </fill>
    <fill>
      <patternFill patternType="solid">
        <fgColor rgb="00F0F9FF"/>
        <bgColor rgb="00F0F9FF"/>
      </patternFill>
    </fill>
    <fill>
      <patternFill patternType="solid">
        <fgColor rgb="00FFFBEB"/>
        <bgColor rgb="00FFFBEB"/>
      </patternFill>
    </fill>
    <fill>
      <patternFill patternType="solid">
        <fgColor rgb="00334155"/>
        <bgColor rgb="00334155"/>
      </patternFill>
    </fill>
    <fill>
      <patternFill patternType="solid">
        <fgColor rgb="001E1B4B"/>
        <bgColor rgb="001E1B4B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4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4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5" fillId="8" borderId="1" applyAlignment="1" pivotButton="0" quotePrefix="0" xfId="0">
      <alignment horizontal="right" vertical="center"/>
    </xf>
    <xf numFmtId="0" fontId="6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0" borderId="0" pivotButton="0" quotePrefix="0" xfId="0"/>
    <xf numFmtId="0" fontId="6" fillId="12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center" wrapText="1"/>
    </xf>
    <xf numFmtId="0" fontId="6" fillId="15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center"/>
    </xf>
    <xf numFmtId="0" fontId="2" fillId="16" borderId="1" applyAlignment="1" pivotButton="0" quotePrefix="0" xfId="0">
      <alignment vertical="center" wrapText="1"/>
    </xf>
    <xf numFmtId="0" fontId="2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3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4" customWidth="1" min="10" max="10"/>
    <col width="20" customWidth="1" min="11" max="11"/>
    <col width="22" customWidth="1" min="12" max="12"/>
    <col width="20" customWidth="1" min="13" max="13"/>
  </cols>
  <sheetData>
    <row r="1">
      <c r="A1" s="1" t="inlineStr">
        <is>
          <t>Image_Name</t>
        </is>
      </c>
      <c r="B1" s="1" t="inlineStr">
        <is>
          <t>Foot_Side</t>
        </is>
      </c>
      <c r="C1" s="1" t="inlineStr">
        <is>
          <t>ROI</t>
        </is>
      </c>
      <c r="D1" s="1" t="inlineStr">
        <is>
          <t>PPP_Mean_Temp_C</t>
        </is>
      </c>
      <c r="E1" s="1" t="inlineStr">
        <is>
          <t>PPP_Peak_Temp_C</t>
        </is>
      </c>
      <c r="F1" s="1" t="inlineStr">
        <is>
          <t>PPP_Min_Temp_C</t>
        </is>
      </c>
      <c r="G1" s="1" t="inlineStr">
        <is>
          <t>PPP_Std_Temp_C</t>
        </is>
      </c>
      <c r="H1" s="1" t="inlineStr">
        <is>
          <t>PPG_Mean_Grad</t>
        </is>
      </c>
      <c r="I1" s="1" t="inlineStr">
        <is>
          <t>PPG_Peak_Grad</t>
        </is>
      </c>
      <c r="J1" s="1" t="inlineStr">
        <is>
          <t>PPG_Std_Grad</t>
        </is>
      </c>
      <c r="K1" s="1" t="inlineStr">
        <is>
          <t>PGA_Mean_Angle_Deg</t>
        </is>
      </c>
      <c r="L1" s="1" t="inlineStr">
        <is>
          <t>PGA_Direction_Compass</t>
        </is>
      </c>
      <c r="M1" s="1" t="inlineStr">
        <is>
          <t>PGA_Coherence_Pct</t>
        </is>
      </c>
    </row>
    <row r="2">
      <c r="A2" s="2" t="inlineStr">
        <is>
          <t>FLIR0201</t>
        </is>
      </c>
      <c r="B2" s="2" t="inlineStr">
        <is>
          <t>Right</t>
        </is>
      </c>
      <c r="C2" s="2" t="inlineStr">
        <is>
          <t>T1</t>
        </is>
      </c>
      <c r="D2" s="3" t="n">
        <v>34.24</v>
      </c>
      <c r="E2" s="3" t="n">
        <v>34.75</v>
      </c>
      <c r="F2" s="3" t="n">
        <v>33.74</v>
      </c>
      <c r="G2" s="3" t="n">
        <v>0.31</v>
      </c>
      <c r="H2" s="3" t="n">
        <v>0.122</v>
      </c>
      <c r="I2" s="3" t="n">
        <v>0.273</v>
      </c>
      <c r="J2" s="3" t="n">
        <v>0.058</v>
      </c>
      <c r="K2" s="3" t="n">
        <v>176.7</v>
      </c>
      <c r="L2" s="2" t="inlineStr">
        <is>
          <t>W (Medial)</t>
        </is>
      </c>
      <c r="M2" s="3" t="n">
        <v>61.5</v>
      </c>
    </row>
    <row r="3">
      <c r="A3" s="4" t="inlineStr">
        <is>
          <t>FLIR0201</t>
        </is>
      </c>
      <c r="B3" s="4" t="inlineStr">
        <is>
          <t>Right</t>
        </is>
      </c>
      <c r="C3" s="4" t="inlineStr">
        <is>
          <t>M1</t>
        </is>
      </c>
      <c r="D3" s="5" t="n">
        <v>34.69</v>
      </c>
      <c r="E3" s="5" t="n">
        <v>35</v>
      </c>
      <c r="F3" s="5" t="n">
        <v>33.42</v>
      </c>
      <c r="G3" s="5" t="n">
        <v>0.43</v>
      </c>
      <c r="H3" s="5" t="n">
        <v>0.162</v>
      </c>
      <c r="I3" s="5" t="n">
        <v>0.6899999999999999</v>
      </c>
      <c r="J3" s="5" t="n">
        <v>0.186</v>
      </c>
      <c r="K3" s="5" t="n">
        <v>191.3</v>
      </c>
      <c r="L3" s="4" t="inlineStr">
        <is>
          <t>W (Medial)</t>
        </is>
      </c>
      <c r="M3" s="5" t="n">
        <v>59.8</v>
      </c>
    </row>
    <row r="4">
      <c r="A4" s="2" t="inlineStr">
        <is>
          <t>FLIR0201</t>
        </is>
      </c>
      <c r="B4" s="2" t="inlineStr">
        <is>
          <t>Right</t>
        </is>
      </c>
      <c r="C4" s="2" t="inlineStr">
        <is>
          <t>M2</t>
        </is>
      </c>
      <c r="D4" s="3" t="n">
        <v>34.68</v>
      </c>
      <c r="E4" s="3" t="n">
        <v>35</v>
      </c>
      <c r="F4" s="3" t="n">
        <v>34</v>
      </c>
      <c r="G4" s="3" t="n">
        <v>0.35</v>
      </c>
      <c r="H4" s="3" t="n">
        <v>0.099</v>
      </c>
      <c r="I4" s="3" t="n">
        <v>0.22</v>
      </c>
      <c r="J4" s="3" t="n">
        <v>0.082</v>
      </c>
      <c r="K4" s="3" t="n">
        <v>337.2</v>
      </c>
      <c r="L4" s="2" t="inlineStr">
        <is>
          <t>SE (Posterolateral)</t>
        </is>
      </c>
      <c r="M4" s="3" t="n">
        <v>93.8</v>
      </c>
    </row>
    <row r="5">
      <c r="A5" s="4" t="inlineStr">
        <is>
          <t>FLIR0202</t>
        </is>
      </c>
      <c r="B5" s="4" t="inlineStr">
        <is>
          <t>Right</t>
        </is>
      </c>
      <c r="C5" s="4" t="inlineStr">
        <is>
          <t>T1</t>
        </is>
      </c>
      <c r="D5" s="5" t="n">
        <v>33.35</v>
      </c>
      <c r="E5" s="5" t="n">
        <v>33.97</v>
      </c>
      <c r="F5" s="5" t="n">
        <v>32.89</v>
      </c>
      <c r="G5" s="5" t="n">
        <v>0.34</v>
      </c>
      <c r="H5" s="5" t="n">
        <v>0.105</v>
      </c>
      <c r="I5" s="5" t="n">
        <v>0.208</v>
      </c>
      <c r="J5" s="5" t="n">
        <v>0.058</v>
      </c>
      <c r="K5" s="5" t="n">
        <v>66.7</v>
      </c>
      <c r="L5" s="4" t="inlineStr">
        <is>
          <t>NE (Anterolateral)</t>
        </is>
      </c>
      <c r="M5" s="5" t="n">
        <v>86.59999999999999</v>
      </c>
    </row>
    <row r="6">
      <c r="A6" s="2" t="inlineStr">
        <is>
          <t>FLIR0202</t>
        </is>
      </c>
      <c r="B6" s="2" t="inlineStr">
        <is>
          <t>Right</t>
        </is>
      </c>
      <c r="C6" s="2" t="inlineStr">
        <is>
          <t>M1</t>
        </is>
      </c>
      <c r="D6" s="3" t="n">
        <v>33.9</v>
      </c>
      <c r="E6" s="3" t="n">
        <v>34</v>
      </c>
      <c r="F6" s="3" t="n">
        <v>33.37</v>
      </c>
      <c r="G6" s="3" t="n">
        <v>0.18</v>
      </c>
      <c r="H6" s="3" t="n">
        <v>0.064</v>
      </c>
      <c r="I6" s="3" t="n">
        <v>0.298</v>
      </c>
      <c r="J6" s="3" t="n">
        <v>0.08500000000000001</v>
      </c>
      <c r="K6" s="3" t="n">
        <v>136.1</v>
      </c>
      <c r="L6" s="2" t="inlineStr">
        <is>
          <t>NW (Anteromedial)</t>
        </is>
      </c>
      <c r="M6" s="3" t="n">
        <v>27.5</v>
      </c>
    </row>
    <row r="7">
      <c r="A7" s="4" t="inlineStr">
        <is>
          <t>FLIR0202</t>
        </is>
      </c>
      <c r="B7" s="4" t="inlineStr">
        <is>
          <t>Right</t>
        </is>
      </c>
      <c r="C7" s="4" t="inlineStr">
        <is>
          <t>M2</t>
        </is>
      </c>
      <c r="D7" s="5" t="n">
        <v>34</v>
      </c>
      <c r="E7" s="5" t="n">
        <v>34</v>
      </c>
      <c r="F7" s="5" t="n">
        <v>33.88</v>
      </c>
      <c r="G7" s="5" t="n">
        <v>0.01</v>
      </c>
      <c r="H7" s="5" t="n">
        <v>0.005</v>
      </c>
      <c r="I7" s="5" t="n">
        <v>0.12</v>
      </c>
      <c r="J7" s="5" t="n">
        <v>0.017</v>
      </c>
      <c r="K7" s="5" t="n">
        <v>13.7</v>
      </c>
      <c r="L7" s="4" t="inlineStr">
        <is>
          <t>E (Lateral)</t>
        </is>
      </c>
      <c r="M7" s="5" t="n">
        <v>89.3</v>
      </c>
    </row>
    <row r="8">
      <c r="A8" s="2" t="inlineStr">
        <is>
          <t>FLIR0203</t>
        </is>
      </c>
      <c r="B8" s="2" t="inlineStr">
        <is>
          <t>Right</t>
        </is>
      </c>
      <c r="C8" s="2" t="inlineStr">
        <is>
          <t>T1</t>
        </is>
      </c>
      <c r="D8" s="3" t="n">
        <v>33.03</v>
      </c>
      <c r="E8" s="3" t="n">
        <v>33.73</v>
      </c>
      <c r="F8" s="3" t="n">
        <v>32.54</v>
      </c>
      <c r="G8" s="3" t="n">
        <v>0.25</v>
      </c>
      <c r="H8" s="3" t="n">
        <v>0.125</v>
      </c>
      <c r="I8" s="3" t="n">
        <v>0.308</v>
      </c>
      <c r="J8" s="3" t="n">
        <v>0.073</v>
      </c>
      <c r="K8" s="3" t="n">
        <v>272.2</v>
      </c>
      <c r="L8" s="2" t="inlineStr">
        <is>
          <t>S (Proximal / Heel)</t>
        </is>
      </c>
      <c r="M8" s="3" t="n">
        <v>33.1</v>
      </c>
    </row>
    <row r="9">
      <c r="A9" s="4" t="inlineStr">
        <is>
          <t>FLIR0203</t>
        </is>
      </c>
      <c r="B9" s="4" t="inlineStr">
        <is>
          <t>Right</t>
        </is>
      </c>
      <c r="C9" s="4" t="inlineStr">
        <is>
          <t>M1</t>
        </is>
      </c>
      <c r="D9" s="5" t="n">
        <v>33.31</v>
      </c>
      <c r="E9" s="5" t="n">
        <v>33.73</v>
      </c>
      <c r="F9" s="5" t="n">
        <v>33.01</v>
      </c>
      <c r="G9" s="5" t="n">
        <v>0.21</v>
      </c>
      <c r="H9" s="5" t="n">
        <v>0.103</v>
      </c>
      <c r="I9" s="5" t="n">
        <v>0.198</v>
      </c>
      <c r="J9" s="5" t="n">
        <v>0.048</v>
      </c>
      <c r="K9" s="5" t="n">
        <v>57.9</v>
      </c>
      <c r="L9" s="4" t="inlineStr">
        <is>
          <t>NE (Anterolateral)</t>
        </is>
      </c>
      <c r="M9" s="5" t="n">
        <v>8.300000000000001</v>
      </c>
    </row>
    <row r="10">
      <c r="A10" s="2" t="inlineStr">
        <is>
          <t>FLIR0203</t>
        </is>
      </c>
      <c r="B10" s="2" t="inlineStr">
        <is>
          <t>Right</t>
        </is>
      </c>
      <c r="C10" s="2" t="inlineStr">
        <is>
          <t>M2</t>
        </is>
      </c>
      <c r="D10" s="3" t="n">
        <v>33.57</v>
      </c>
      <c r="E10" s="3" t="n">
        <v>33.95</v>
      </c>
      <c r="F10" s="3" t="n">
        <v>33.04</v>
      </c>
      <c r="G10" s="3" t="n">
        <v>0.26</v>
      </c>
      <c r="H10" s="3" t="n">
        <v>0.148</v>
      </c>
      <c r="I10" s="3" t="n">
        <v>0.219</v>
      </c>
      <c r="J10" s="3" t="n">
        <v>0.055</v>
      </c>
      <c r="K10" s="3" t="n">
        <v>97.2</v>
      </c>
      <c r="L10" s="2" t="inlineStr">
        <is>
          <t>N (Distal / Toes)</t>
        </is>
      </c>
      <c r="M10" s="3" t="n">
        <v>12.2</v>
      </c>
    </row>
    <row r="11">
      <c r="A11" s="4" t="inlineStr">
        <is>
          <t>FLIR0204</t>
        </is>
      </c>
      <c r="B11" s="4" t="inlineStr">
        <is>
          <t>Right</t>
        </is>
      </c>
      <c r="C11" s="4" t="inlineStr">
        <is>
          <t>T1</t>
        </is>
      </c>
      <c r="D11" s="5" t="n">
        <v>33.6</v>
      </c>
      <c r="E11" s="5" t="n">
        <v>34.69</v>
      </c>
      <c r="F11" s="5" t="n">
        <v>33</v>
      </c>
      <c r="G11" s="5" t="n">
        <v>0.5</v>
      </c>
      <c r="H11" s="5" t="n">
        <v>0.167</v>
      </c>
      <c r="I11" s="5" t="n">
        <v>0.336</v>
      </c>
      <c r="J11" s="5" t="n">
        <v>0.089</v>
      </c>
      <c r="K11" s="5" t="n">
        <v>59.9</v>
      </c>
      <c r="L11" s="4" t="inlineStr">
        <is>
          <t>NE (Anterolateral)</t>
        </is>
      </c>
      <c r="M11" s="5" t="n">
        <v>77.3</v>
      </c>
    </row>
    <row r="12">
      <c r="A12" s="2" t="inlineStr">
        <is>
          <t>FLIR0204</t>
        </is>
      </c>
      <c r="B12" s="2" t="inlineStr">
        <is>
          <t>Right</t>
        </is>
      </c>
      <c r="C12" s="2" t="inlineStr">
        <is>
          <t>M1</t>
        </is>
      </c>
      <c r="D12" s="3" t="n">
        <v>33.99</v>
      </c>
      <c r="E12" s="3" t="n">
        <v>34.11</v>
      </c>
      <c r="F12" s="3" t="n">
        <v>33.92</v>
      </c>
      <c r="G12" s="3" t="n">
        <v>0.02</v>
      </c>
      <c r="H12" s="3" t="n">
        <v>0.013</v>
      </c>
      <c r="I12" s="3" t="n">
        <v>0.095</v>
      </c>
      <c r="J12" s="3" t="n">
        <v>0.016</v>
      </c>
      <c r="K12" s="3" t="n">
        <v>144.8</v>
      </c>
      <c r="L12" s="2" t="inlineStr">
        <is>
          <t>NW (Anteromedial)</t>
        </is>
      </c>
      <c r="M12" s="3" t="n">
        <v>18.6</v>
      </c>
    </row>
    <row r="13">
      <c r="A13" s="4" t="inlineStr">
        <is>
          <t>FLIR0204</t>
        </is>
      </c>
      <c r="B13" s="4" t="inlineStr">
        <is>
          <t>Right</t>
        </is>
      </c>
      <c r="C13" s="4" t="inlineStr">
        <is>
          <t>M2</t>
        </is>
      </c>
      <c r="D13" s="5" t="n">
        <v>33.9</v>
      </c>
      <c r="E13" s="5" t="n">
        <v>34.04</v>
      </c>
      <c r="F13" s="5" t="n">
        <v>33.4</v>
      </c>
      <c r="G13" s="5" t="n">
        <v>0.17</v>
      </c>
      <c r="H13" s="5" t="n">
        <v>0.065</v>
      </c>
      <c r="I13" s="5" t="n">
        <v>0.222</v>
      </c>
      <c r="J13" s="5" t="n">
        <v>0.081</v>
      </c>
      <c r="K13" s="5" t="n">
        <v>33.8</v>
      </c>
      <c r="L13" s="4" t="inlineStr">
        <is>
          <t>NE (Anterolateral)</t>
        </is>
      </c>
      <c r="M13" s="5" t="n">
        <v>33.6</v>
      </c>
    </row>
    <row r="14">
      <c r="A14" s="2" t="inlineStr">
        <is>
          <t>FLIR0205</t>
        </is>
      </c>
      <c r="B14" s="2" t="inlineStr">
        <is>
          <t>Right</t>
        </is>
      </c>
      <c r="C14" s="2" t="inlineStr">
        <is>
          <t>T1</t>
        </is>
      </c>
      <c r="D14" s="3" t="n">
        <v>35.08</v>
      </c>
      <c r="E14" s="3" t="n">
        <v>35.99</v>
      </c>
      <c r="F14" s="3" t="n">
        <v>34.03</v>
      </c>
      <c r="G14" s="3" t="n">
        <v>0.54</v>
      </c>
      <c r="H14" s="3" t="n">
        <v>0.218</v>
      </c>
      <c r="I14" s="3" t="n">
        <v>0.638</v>
      </c>
      <c r="J14" s="3" t="n">
        <v>0.108</v>
      </c>
      <c r="K14" s="3" t="n">
        <v>70.7</v>
      </c>
      <c r="L14" s="2" t="inlineStr">
        <is>
          <t>N (Distal / Toes)</t>
        </is>
      </c>
      <c r="M14" s="3" t="n">
        <v>60.1</v>
      </c>
    </row>
    <row r="15">
      <c r="A15" s="4" t="inlineStr">
        <is>
          <t>FLIR0205</t>
        </is>
      </c>
      <c r="B15" s="4" t="inlineStr">
        <is>
          <t>Right</t>
        </is>
      </c>
      <c r="C15" s="4" t="inlineStr">
        <is>
          <t>M1</t>
        </is>
      </c>
      <c r="D15" s="5" t="n">
        <v>34.99</v>
      </c>
      <c r="E15" s="5" t="n">
        <v>35.27</v>
      </c>
      <c r="F15" s="5" t="n">
        <v>34.26</v>
      </c>
      <c r="G15" s="5" t="n">
        <v>0.13</v>
      </c>
      <c r="H15" s="5" t="n">
        <v>0.057</v>
      </c>
      <c r="I15" s="5" t="n">
        <v>0.503</v>
      </c>
      <c r="J15" s="5" t="n">
        <v>0.093</v>
      </c>
      <c r="K15" s="5" t="n">
        <v>145.4</v>
      </c>
      <c r="L15" s="4" t="inlineStr">
        <is>
          <t>NW (Anteromedial)</t>
        </is>
      </c>
      <c r="M15" s="5" t="n">
        <v>21.5</v>
      </c>
    </row>
    <row r="16">
      <c r="A16" s="2" t="inlineStr">
        <is>
          <t>FLIR0205</t>
        </is>
      </c>
      <c r="B16" s="2" t="inlineStr">
        <is>
          <t>Right</t>
        </is>
      </c>
      <c r="C16" s="2" t="inlineStr">
        <is>
          <t>M2</t>
        </is>
      </c>
      <c r="D16" s="3" t="n">
        <v>34.97</v>
      </c>
      <c r="E16" s="3" t="n">
        <v>35.11</v>
      </c>
      <c r="F16" s="3" t="n">
        <v>34.42</v>
      </c>
      <c r="G16" s="3" t="n">
        <v>0.14</v>
      </c>
      <c r="H16" s="3" t="n">
        <v>0.065</v>
      </c>
      <c r="I16" s="3" t="n">
        <v>0.216</v>
      </c>
      <c r="J16" s="3" t="n">
        <v>0.058</v>
      </c>
      <c r="K16" s="3" t="n">
        <v>15.1</v>
      </c>
      <c r="L16" s="2" t="inlineStr">
        <is>
          <t>E (Lateral)</t>
        </is>
      </c>
      <c r="M16" s="3" t="n">
        <v>27.8</v>
      </c>
    </row>
    <row r="17">
      <c r="A17" s="4" t="inlineStr">
        <is>
          <t>FLIR0206</t>
        </is>
      </c>
      <c r="B17" s="4" t="inlineStr">
        <is>
          <t>Right</t>
        </is>
      </c>
      <c r="C17" s="4" t="inlineStr">
        <is>
          <t>T1</t>
        </is>
      </c>
      <c r="D17" s="5" t="n">
        <v>35.7</v>
      </c>
      <c r="E17" s="5" t="n">
        <v>36.2</v>
      </c>
      <c r="F17" s="5" t="n">
        <v>34.46</v>
      </c>
      <c r="G17" s="5" t="n">
        <v>0.38</v>
      </c>
      <c r="H17" s="5" t="n">
        <v>0.208</v>
      </c>
      <c r="I17" s="5" t="n">
        <v>0.5649999999999999</v>
      </c>
      <c r="J17" s="5" t="n">
        <v>0.144</v>
      </c>
      <c r="K17" s="5" t="n">
        <v>106.2</v>
      </c>
      <c r="L17" s="4" t="inlineStr">
        <is>
          <t>N (Distal / Toes)</t>
        </is>
      </c>
      <c r="M17" s="5" t="n">
        <v>34.4</v>
      </c>
    </row>
    <row r="18">
      <c r="A18" s="2" t="inlineStr">
        <is>
          <t>FLIR0206</t>
        </is>
      </c>
      <c r="B18" s="2" t="inlineStr">
        <is>
          <t>Right</t>
        </is>
      </c>
      <c r="C18" s="2" t="inlineStr">
        <is>
          <t>M1</t>
        </is>
      </c>
      <c r="D18" s="3" t="n">
        <v>35.15</v>
      </c>
      <c r="E18" s="3" t="n">
        <v>35.92</v>
      </c>
      <c r="F18" s="3" t="n">
        <v>34.49</v>
      </c>
      <c r="G18" s="3" t="n">
        <v>0.35</v>
      </c>
      <c r="H18" s="3" t="n">
        <v>0.152</v>
      </c>
      <c r="I18" s="3" t="n">
        <v>0.316</v>
      </c>
      <c r="J18" s="3" t="n">
        <v>0.08400000000000001</v>
      </c>
      <c r="K18" s="3" t="n">
        <v>216.9</v>
      </c>
      <c r="L18" s="2" t="inlineStr">
        <is>
          <t>SW (Posteromedial)</t>
        </is>
      </c>
      <c r="M18" s="3" t="n">
        <v>73.40000000000001</v>
      </c>
    </row>
    <row r="19">
      <c r="A19" s="4" t="inlineStr">
        <is>
          <t>FLIR0206</t>
        </is>
      </c>
      <c r="B19" s="4" t="inlineStr">
        <is>
          <t>Right</t>
        </is>
      </c>
      <c r="C19" s="4" t="inlineStr">
        <is>
          <t>M2</t>
        </is>
      </c>
      <c r="D19" s="5" t="n">
        <v>35.65</v>
      </c>
      <c r="E19" s="5" t="n">
        <v>35.99</v>
      </c>
      <c r="F19" s="5" t="n">
        <v>35.13</v>
      </c>
      <c r="G19" s="5" t="n">
        <v>0.25</v>
      </c>
      <c r="H19" s="5" t="n">
        <v>0.152</v>
      </c>
      <c r="I19" s="5" t="n">
        <v>0.217</v>
      </c>
      <c r="J19" s="5" t="n">
        <v>0.057</v>
      </c>
      <c r="K19" s="5" t="n">
        <v>277.9</v>
      </c>
      <c r="L19" s="4" t="inlineStr">
        <is>
          <t>S (Proximal / Heel)</t>
        </is>
      </c>
      <c r="M19" s="5" t="n">
        <v>27.5</v>
      </c>
    </row>
    <row r="20">
      <c r="A20" s="2" t="inlineStr">
        <is>
          <t>FLIR0207</t>
        </is>
      </c>
      <c r="B20" s="2" t="inlineStr">
        <is>
          <t>Right</t>
        </is>
      </c>
      <c r="C20" s="2" t="inlineStr">
        <is>
          <t>T1</t>
        </is>
      </c>
      <c r="D20" s="3" t="n">
        <v>34.78</v>
      </c>
      <c r="E20" s="3" t="n">
        <v>35.98</v>
      </c>
      <c r="F20" s="3" t="n">
        <v>33.33</v>
      </c>
      <c r="G20" s="3" t="n">
        <v>0.7</v>
      </c>
      <c r="H20" s="3" t="n">
        <v>0.262</v>
      </c>
      <c r="I20" s="3" t="n">
        <v>0.711</v>
      </c>
      <c r="J20" s="3" t="n">
        <v>0.104</v>
      </c>
      <c r="K20" s="3" t="n">
        <v>60.2</v>
      </c>
      <c r="L20" s="2" t="inlineStr">
        <is>
          <t>NE (Anterolateral)</t>
        </is>
      </c>
      <c r="M20" s="3" t="n">
        <v>77.2</v>
      </c>
    </row>
    <row r="21">
      <c r="A21" s="4" t="inlineStr">
        <is>
          <t>FLIR0207</t>
        </is>
      </c>
      <c r="B21" s="4" t="inlineStr">
        <is>
          <t>Right</t>
        </is>
      </c>
      <c r="C21" s="4" t="inlineStr">
        <is>
          <t>M1</t>
        </is>
      </c>
      <c r="D21" s="5" t="n">
        <v>35.09</v>
      </c>
      <c r="E21" s="5" t="n">
        <v>35.71</v>
      </c>
      <c r="F21" s="5" t="n">
        <v>34.58</v>
      </c>
      <c r="G21" s="5" t="n">
        <v>0.21</v>
      </c>
      <c r="H21" s="5" t="n">
        <v>0.116</v>
      </c>
      <c r="I21" s="5" t="n">
        <v>0.339</v>
      </c>
      <c r="J21" s="5" t="n">
        <v>0.083</v>
      </c>
      <c r="K21" s="5" t="n">
        <v>78</v>
      </c>
      <c r="L21" s="4" t="inlineStr">
        <is>
          <t>N (Distal / Toes)</t>
        </is>
      </c>
      <c r="M21" s="5" t="n">
        <v>31.4</v>
      </c>
    </row>
    <row r="22">
      <c r="A22" s="2" t="inlineStr">
        <is>
          <t>FLIR0207</t>
        </is>
      </c>
      <c r="B22" s="2" t="inlineStr">
        <is>
          <t>Right</t>
        </is>
      </c>
      <c r="C22" s="2" t="inlineStr">
        <is>
          <t>M2</t>
        </is>
      </c>
      <c r="D22" s="3" t="n">
        <v>35.31</v>
      </c>
      <c r="E22" s="3" t="n">
        <v>35.83</v>
      </c>
      <c r="F22" s="3" t="n">
        <v>34.77</v>
      </c>
      <c r="G22" s="3" t="n">
        <v>0.28</v>
      </c>
      <c r="H22" s="3" t="n">
        <v>0.129</v>
      </c>
      <c r="I22" s="3" t="n">
        <v>0.233</v>
      </c>
      <c r="J22" s="3" t="n">
        <v>0.061</v>
      </c>
      <c r="K22" s="3" t="n">
        <v>117.3</v>
      </c>
      <c r="L22" s="2" t="inlineStr">
        <is>
          <t>NW (Anteromedial)</t>
        </is>
      </c>
      <c r="M22" s="3" t="n">
        <v>40.5</v>
      </c>
    </row>
    <row r="25" ht="26" customHeight="1">
      <c r="A25" s="6" t="inlineStr">
        <is>
          <t>📌 AUDIT PENGAMBILAN CELL &amp; PANDUAN PERHITUNGAN (PPP, PPG, PGA)</t>
        </is>
      </c>
    </row>
    <row r="26" ht="24" customHeight="1">
      <c r="A26" s="7" t="inlineStr">
        <is>
          <t>Metrik Parameter</t>
        </is>
      </c>
      <c r="B26" s="7" t="inlineStr">
        <is>
          <t>Pertanyaan Klinis (Definisi)</t>
        </is>
      </c>
      <c r="C26" s="7" t="inlineStr">
        <is>
          <t>Cell Sumber / Rentang Acuan</t>
        </is>
      </c>
      <c r="D26" s="7" t="inlineStr">
        <is>
          <t>Cara Menghitung (Formula &amp; Metode)</t>
        </is>
      </c>
      <c r="E26" s="7" t="inlineStr">
        <is>
          <t>Nilai Agregat</t>
        </is>
      </c>
      <c r="F26" s="7" t="inlineStr">
        <is>
          <t>Alasan Pemilihan Area &amp; Rationale Klinis</t>
        </is>
      </c>
      <c r="G26" s="8" t="n"/>
      <c r="H26" s="8" t="n"/>
      <c r="I26" s="8" t="n"/>
      <c r="J26" s="8" t="n"/>
      <c r="K26" s="8" t="n"/>
      <c r="L26" s="8" t="n"/>
      <c r="M26" s="9" t="n"/>
    </row>
    <row r="27" ht="28" customHeight="1">
      <c r="A27" s="10" t="inlineStr">
        <is>
          <t>PPP (Mean Temp)</t>
        </is>
      </c>
      <c r="B27" s="11" t="inlineStr">
        <is>
          <t>Berapa rata-rata suhu jaringan kulit pada area ROI?</t>
        </is>
      </c>
      <c r="C27" s="12" t="inlineStr">
        <is>
          <t>Kolom D (D2:D22)</t>
        </is>
      </c>
      <c r="D27" s="11">
        <f>AVERAGE(D2:D22)</f>
        <v/>
      </c>
      <c r="E27" s="13">
        <f>AVERAGE(D2:D22)</f>
        <v/>
      </c>
      <c r="F27" s="11" t="inlineStr">
        <is>
          <t>T1 (Hallux), M1 &amp; M2 (Metatarsal) adalah titik kontak beban tumpuan puncak fase berjalan (stance phase). Rata-rata suhu mencerminkan perfusi basal jaringan kulit.</t>
        </is>
      </c>
      <c r="G27" s="14" t="n"/>
      <c r="H27" s="14" t="n"/>
      <c r="I27" s="14" t="n"/>
      <c r="J27" s="14" t="n"/>
      <c r="K27" s="14" t="n"/>
      <c r="L27" s="14" t="n"/>
      <c r="M27" s="14" t="n"/>
    </row>
    <row r="28" ht="28" customHeight="1">
      <c r="A28" s="10" t="inlineStr">
        <is>
          <t>PPP (Peak / Max Temp)</t>
        </is>
      </c>
      <c r="B28" s="11" t="inlineStr">
        <is>
          <t>Berapa suhu tertinggi / hotspot lokal pada area ROI?</t>
        </is>
      </c>
      <c r="C28" s="12" t="inlineStr">
        <is>
          <t>Kolom E (E2:E22)</t>
        </is>
      </c>
      <c r="D28" s="11">
        <f>MAX(E2:E22)</f>
        <v/>
      </c>
      <c r="E28" s="13">
        <f>MAX(E2:E22)</f>
        <v/>
      </c>
      <c r="F28" s="11" t="inlineStr">
        <is>
          <t>Hotspot lokal adalah penanda awal hiperemia dan mikrotrauma jaringan dalam sebelum timbul kerusakan kulit terbuka (ulkus diabetik).</t>
        </is>
      </c>
      <c r="G28" s="14" t="n"/>
      <c r="H28" s="14" t="n"/>
      <c r="I28" s="14" t="n"/>
      <c r="J28" s="14" t="n"/>
      <c r="K28" s="14" t="n"/>
      <c r="L28" s="14" t="n"/>
      <c r="M28" s="14" t="n"/>
    </row>
    <row r="29" ht="28" customHeight="1">
      <c r="A29" s="10" t="inlineStr">
        <is>
          <t>PPP (Min Temp)</t>
        </is>
      </c>
      <c r="B29" s="11" t="inlineStr">
        <is>
          <t>Berapa suhu terendah di batas area ROI?</t>
        </is>
      </c>
      <c r="C29" s="12" t="inlineStr">
        <is>
          <t>Kolom F (F2:F22)</t>
        </is>
      </c>
      <c r="D29" s="11">
        <f>MIN(F2:F22)</f>
        <v/>
      </c>
      <c r="E29" s="13">
        <f>MIN(F2:F22)</f>
        <v/>
      </c>
      <c r="F29" s="11" t="inlineStr">
        <is>
          <t>Mengevaluasi batas bawah suhu untuk skrining hipoperfusi atau iskemia akibat Peripheral Artery Disease (PAD).</t>
        </is>
      </c>
      <c r="G29" s="14" t="n"/>
      <c r="H29" s="14" t="n"/>
      <c r="I29" s="14" t="n"/>
      <c r="J29" s="14" t="n"/>
      <c r="K29" s="14" t="n"/>
      <c r="L29" s="14" t="n"/>
      <c r="M29" s="14" t="n"/>
    </row>
    <row r="30" ht="28" customHeight="1">
      <c r="A30" s="15" t="inlineStr">
        <is>
          <t>PPG (Mean Gradient)</t>
        </is>
      </c>
      <c r="B30" s="16" t="inlineStr">
        <is>
          <t>Seberapa tajam rata-rata lonjakan perbedaan suhu spasial?</t>
        </is>
      </c>
      <c r="C30" s="17" t="inlineStr">
        <is>
          <t>Kolom H (H2:H22)</t>
        </is>
      </c>
      <c r="D30" s="16">
        <f>AVERAGE(H2:H22)</f>
        <v/>
      </c>
      <c r="E30" s="18">
        <f>AVERAGE(H2:H22)</f>
        <v/>
      </c>
      <c r="F30" s="16" t="inlineStr">
        <is>
          <t>Membedakan hangat fisiologis merata (suhu ruang/aktivitas) vs peradangan fokal aktif. Gradien tinggi menandakan batas radang aktif.</t>
        </is>
      </c>
      <c r="G30" s="19" t="n"/>
      <c r="H30" s="19" t="n"/>
      <c r="I30" s="19" t="n"/>
      <c r="J30" s="19" t="n"/>
      <c r="K30" s="19" t="n"/>
      <c r="L30" s="19" t="n"/>
      <c r="M30" s="19" t="n"/>
    </row>
    <row r="31" ht="28" customHeight="1">
      <c r="A31" s="15" t="inlineStr">
        <is>
          <t>PPG (Peak Gradient)</t>
        </is>
      </c>
      <c r="B31" s="16" t="inlineStr">
        <is>
          <t>Seberapa curam batas kontras panas paling tajam di titik radang?</t>
        </is>
      </c>
      <c r="C31" s="17" t="inlineStr">
        <is>
          <t>Kolom I (I2:I22)</t>
        </is>
      </c>
      <c r="D31" s="16">
        <f>MAX(I2:I22)</f>
        <v/>
      </c>
      <c r="E31" s="18">
        <f>MAX(I2:I22)</f>
        <v/>
      </c>
      <c r="F31" s="16" t="inlineStr">
        <is>
          <t>Puncak gradien melokalisir batas tepi fokal infeksi dalam atau deformitas Charcot Foot sebelum luka terlihat kasat mata.</t>
        </is>
      </c>
      <c r="G31" s="19" t="n"/>
      <c r="H31" s="19" t="n"/>
      <c r="I31" s="19" t="n"/>
      <c r="J31" s="19" t="n"/>
      <c r="K31" s="19" t="n"/>
      <c r="L31" s="19" t="n"/>
      <c r="M31" s="19" t="n"/>
    </row>
    <row r="32" ht="28" customHeight="1">
      <c r="A32" s="20" t="inlineStr">
        <is>
          <t>PGA (Mean Angle)</t>
        </is>
      </c>
      <c r="B32" s="21" t="inlineStr">
        <is>
          <t>Ke sudut berapa derajat vektor rambatan panas mengalir?</t>
        </is>
      </c>
      <c r="C32" s="22" t="inlineStr">
        <is>
          <t>Kolom K (K2:K22)</t>
        </is>
      </c>
      <c r="D32" s="21">
        <f>AVERAGE(K2:K22)</f>
        <v/>
      </c>
      <c r="E32" s="23">
        <f>AVERAGE(K2:K22)</f>
        <v/>
      </c>
      <c r="F32" s="21" t="inlineStr">
        <is>
          <t>Menentukan orientasi jalur penyebaran kalor dari titik tumpuan metatarsal ke jaringan sekitar.</t>
        </is>
      </c>
      <c r="G32" s="24" t="n"/>
      <c r="H32" s="24" t="n"/>
      <c r="I32" s="24" t="n"/>
      <c r="J32" s="24" t="n"/>
      <c r="K32" s="24" t="n"/>
      <c r="L32" s="24" t="n"/>
      <c r="M32" s="24" t="n"/>
    </row>
    <row r="33" ht="28" customHeight="1">
      <c r="A33" s="20" t="inlineStr">
        <is>
          <t>PGA (Direction Compass)</t>
        </is>
      </c>
      <c r="B33" s="21" t="inlineStr">
        <is>
          <t>Ke arah anatomis mana panas merambat pada kaki pasien?</t>
        </is>
      </c>
      <c r="C33" s="22" t="inlineStr">
        <is>
          <t>Kolom L (L2:L22)</t>
        </is>
      </c>
      <c r="D33" s="21" t="inlineStr">
        <is>
          <t>Konversi 8 arah kardinal</t>
        </is>
      </c>
      <c r="E33" s="25" t="inlineStr">
        <is>
          <t>Lihat Kolom L per baris</t>
        </is>
      </c>
      <c r="F33" s="21" t="inlineStr">
        <is>
          <t>Memandu klinisi apakah panas menjalar ke sela jari kaki (interdigital), ke arkus medial, atau ke lateral luar.</t>
        </is>
      </c>
      <c r="G33" s="24" t="n"/>
      <c r="H33" s="24" t="n"/>
      <c r="I33" s="24" t="n"/>
      <c r="J33" s="24" t="n"/>
      <c r="K33" s="24" t="n"/>
      <c r="L33" s="24" t="n"/>
      <c r="M33" s="24" t="n"/>
    </row>
    <row r="34" ht="28" customHeight="1">
      <c r="A34" s="20" t="inlineStr">
        <is>
          <t>PGA (Vector Coherence %)</t>
        </is>
      </c>
      <c r="B34" s="21" t="inlineStr">
        <is>
          <t>Seberapa seragam arah aliran rambatan panas (0-100%)?</t>
        </is>
      </c>
      <c r="C34" s="22" t="inlineStr">
        <is>
          <t>Kolom M (M2:M22)</t>
        </is>
      </c>
      <c r="D34" s="21">
        <f>AVERAGE(M2:M22)</f>
        <v/>
      </c>
      <c r="E34" s="23">
        <f>AVERAGE(M2:M22)</f>
        <v/>
      </c>
      <c r="F34" s="21" t="inlineStr">
        <is>
          <t>Koherensi tinggi (&gt;75%) membuktikan disipasi panas terarah kuat (fokus vaskular); koherensi rendah (&lt;50%) berarti difusi acak normal.</t>
        </is>
      </c>
      <c r="G34" s="24" t="n"/>
      <c r="H34" s="24" t="n"/>
      <c r="I34" s="24" t="n"/>
      <c r="J34" s="24" t="n"/>
      <c r="K34" s="24" t="n"/>
      <c r="L34" s="24" t="n"/>
      <c r="M34" s="24" t="n"/>
    </row>
  </sheetData>
  <mergeCells count="10">
    <mergeCell ref="F26:M26"/>
    <mergeCell ref="F30:M30"/>
    <mergeCell ref="F29:M29"/>
    <mergeCell ref="F34:M34"/>
    <mergeCell ref="F33:M33"/>
    <mergeCell ref="F28:M28"/>
    <mergeCell ref="A25:M25"/>
    <mergeCell ref="F31:M31"/>
    <mergeCell ref="F27:M27"/>
    <mergeCell ref="F32:M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26" t="inlineStr">
        <is>
          <t>Image_Name</t>
        </is>
      </c>
      <c r="B1" s="26" t="inlineStr">
        <is>
          <t>Foot_Side</t>
        </is>
      </c>
      <c r="C1" s="26" t="inlineStr">
        <is>
          <t>T1_PPP_Mean_C</t>
        </is>
      </c>
      <c r="D1" s="26" t="inlineStr">
        <is>
          <t>T1_PPP_Peak_C</t>
        </is>
      </c>
      <c r="E1" s="26" t="inlineStr">
        <is>
          <t>T1_PPG_Mean_Grad</t>
        </is>
      </c>
      <c r="F1" s="26" t="inlineStr">
        <is>
          <t>T1_PPG_Peak_Grad</t>
        </is>
      </c>
      <c r="G1" s="26" t="inlineStr">
        <is>
          <t>T1_PGA_Angle_Deg</t>
        </is>
      </c>
      <c r="H1" s="26" t="inlineStr">
        <is>
          <t>T1_PGA_Direction</t>
        </is>
      </c>
      <c r="I1" s="26" t="inlineStr">
        <is>
          <t>T1_PGA_Coherence_Pct</t>
        </is>
      </c>
      <c r="J1" s="26" t="inlineStr">
        <is>
          <t>M1_PPP_Mean_C</t>
        </is>
      </c>
      <c r="K1" s="26" t="inlineStr">
        <is>
          <t>M1_PPP_Peak_C</t>
        </is>
      </c>
      <c r="L1" s="26" t="inlineStr">
        <is>
          <t>M1_PPG_Mean_Grad</t>
        </is>
      </c>
      <c r="M1" s="26" t="inlineStr">
        <is>
          <t>M1_PPG_Peak_Grad</t>
        </is>
      </c>
      <c r="N1" s="26" t="inlineStr">
        <is>
          <t>M1_PGA_Angle_Deg</t>
        </is>
      </c>
      <c r="O1" s="26" t="inlineStr">
        <is>
          <t>M1_PGA_Direction</t>
        </is>
      </c>
      <c r="P1" s="26" t="inlineStr">
        <is>
          <t>M1_PGA_Coherence_Pct</t>
        </is>
      </c>
      <c r="Q1" s="26" t="inlineStr">
        <is>
          <t>M2_PPP_Mean_C</t>
        </is>
      </c>
      <c r="R1" s="26" t="inlineStr">
        <is>
          <t>M2_PPP_Peak_C</t>
        </is>
      </c>
      <c r="S1" s="26" t="inlineStr">
        <is>
          <t>M2_PPG_Mean_Grad</t>
        </is>
      </c>
      <c r="T1" s="26" t="inlineStr">
        <is>
          <t>M2_PPG_Peak_Grad</t>
        </is>
      </c>
      <c r="U1" s="26" t="inlineStr">
        <is>
          <t>M2_PGA_Angle_Deg</t>
        </is>
      </c>
      <c r="V1" s="26" t="inlineStr">
        <is>
          <t>M2_PGA_Direction</t>
        </is>
      </c>
      <c r="W1" s="26" t="inlineStr">
        <is>
          <t>M2_PGA_Coherence_Pct</t>
        </is>
      </c>
    </row>
    <row r="2">
      <c r="A2" t="inlineStr">
        <is>
          <t>FLIR0201</t>
        </is>
      </c>
      <c r="B2" t="inlineStr">
        <is>
          <t>Right</t>
        </is>
      </c>
      <c r="C2" t="n">
        <v>34.24</v>
      </c>
      <c r="D2" t="n">
        <v>34.75</v>
      </c>
      <c r="E2" t="n">
        <v>0.122</v>
      </c>
      <c r="F2" t="n">
        <v>0.273</v>
      </c>
      <c r="G2" t="n">
        <v>176.7</v>
      </c>
      <c r="H2" t="inlineStr">
        <is>
          <t>W (Medial)</t>
        </is>
      </c>
      <c r="I2" t="n">
        <v>61.5</v>
      </c>
      <c r="J2" t="n">
        <v>34.69</v>
      </c>
      <c r="K2" t="n">
        <v>35</v>
      </c>
      <c r="L2" t="n">
        <v>0.162</v>
      </c>
      <c r="M2" t="n">
        <v>0.6899999999999999</v>
      </c>
      <c r="N2" t="n">
        <v>191.3</v>
      </c>
      <c r="O2" t="inlineStr">
        <is>
          <t>W (Medial)</t>
        </is>
      </c>
      <c r="P2" t="n">
        <v>59.8</v>
      </c>
      <c r="Q2" t="n">
        <v>34.68</v>
      </c>
      <c r="R2" t="n">
        <v>35</v>
      </c>
      <c r="S2" t="n">
        <v>0.099</v>
      </c>
      <c r="T2" t="n">
        <v>0.22</v>
      </c>
      <c r="U2" t="n">
        <v>337.2</v>
      </c>
      <c r="V2" t="inlineStr">
        <is>
          <t>SE (Posterolateral)</t>
        </is>
      </c>
      <c r="W2" t="n">
        <v>93.8</v>
      </c>
    </row>
    <row r="3">
      <c r="A3" t="inlineStr">
        <is>
          <t>FLIR0202</t>
        </is>
      </c>
      <c r="B3" t="inlineStr">
        <is>
          <t>Right</t>
        </is>
      </c>
      <c r="C3" t="n">
        <v>33.35</v>
      </c>
      <c r="D3" t="n">
        <v>33.97</v>
      </c>
      <c r="E3" t="n">
        <v>0.105</v>
      </c>
      <c r="F3" t="n">
        <v>0.208</v>
      </c>
      <c r="G3" t="n">
        <v>66.7</v>
      </c>
      <c r="H3" t="inlineStr">
        <is>
          <t>NE (Anterolateral)</t>
        </is>
      </c>
      <c r="I3" t="n">
        <v>86.59999999999999</v>
      </c>
      <c r="J3" t="n">
        <v>33.9</v>
      </c>
      <c r="K3" t="n">
        <v>34</v>
      </c>
      <c r="L3" t="n">
        <v>0.064</v>
      </c>
      <c r="M3" t="n">
        <v>0.298</v>
      </c>
      <c r="N3" t="n">
        <v>136.1</v>
      </c>
      <c r="O3" t="inlineStr">
        <is>
          <t>NW (Anteromedial)</t>
        </is>
      </c>
      <c r="P3" t="n">
        <v>27.5</v>
      </c>
      <c r="Q3" t="n">
        <v>34</v>
      </c>
      <c r="R3" t="n">
        <v>34</v>
      </c>
      <c r="S3" t="n">
        <v>0.005</v>
      </c>
      <c r="T3" t="n">
        <v>0.12</v>
      </c>
      <c r="U3" t="n">
        <v>13.7</v>
      </c>
      <c r="V3" t="inlineStr">
        <is>
          <t>E (Lateral)</t>
        </is>
      </c>
      <c r="W3" t="n">
        <v>89.3</v>
      </c>
    </row>
    <row r="4">
      <c r="A4" t="inlineStr">
        <is>
          <t>FLIR0203</t>
        </is>
      </c>
      <c r="B4" t="inlineStr">
        <is>
          <t>Right</t>
        </is>
      </c>
      <c r="C4" t="n">
        <v>33.03</v>
      </c>
      <c r="D4" t="n">
        <v>33.73</v>
      </c>
      <c r="E4" t="n">
        <v>0.125</v>
      </c>
      <c r="F4" t="n">
        <v>0.308</v>
      </c>
      <c r="G4" t="n">
        <v>272.2</v>
      </c>
      <c r="H4" t="inlineStr">
        <is>
          <t>S (Proximal / Heel)</t>
        </is>
      </c>
      <c r="I4" t="n">
        <v>33.1</v>
      </c>
      <c r="J4" t="n">
        <v>33.31</v>
      </c>
      <c r="K4" t="n">
        <v>33.73</v>
      </c>
      <c r="L4" t="n">
        <v>0.103</v>
      </c>
      <c r="M4" t="n">
        <v>0.198</v>
      </c>
      <c r="N4" t="n">
        <v>57.9</v>
      </c>
      <c r="O4" t="inlineStr">
        <is>
          <t>NE (Anterolateral)</t>
        </is>
      </c>
      <c r="P4" t="n">
        <v>8.300000000000001</v>
      </c>
      <c r="Q4" t="n">
        <v>33.57</v>
      </c>
      <c r="R4" t="n">
        <v>33.95</v>
      </c>
      <c r="S4" t="n">
        <v>0.148</v>
      </c>
      <c r="T4" t="n">
        <v>0.219</v>
      </c>
      <c r="U4" t="n">
        <v>97.2</v>
      </c>
      <c r="V4" t="inlineStr">
        <is>
          <t>N (Distal / Toes)</t>
        </is>
      </c>
      <c r="W4" t="n">
        <v>12.2</v>
      </c>
    </row>
    <row r="5">
      <c r="A5" t="inlineStr">
        <is>
          <t>FLIR0204</t>
        </is>
      </c>
      <c r="B5" t="inlineStr">
        <is>
          <t>Right</t>
        </is>
      </c>
      <c r="C5" t="n">
        <v>33.6</v>
      </c>
      <c r="D5" t="n">
        <v>34.69</v>
      </c>
      <c r="E5" t="n">
        <v>0.167</v>
      </c>
      <c r="F5" t="n">
        <v>0.336</v>
      </c>
      <c r="G5" t="n">
        <v>59.9</v>
      </c>
      <c r="H5" t="inlineStr">
        <is>
          <t>NE (Anterolateral)</t>
        </is>
      </c>
      <c r="I5" t="n">
        <v>77.3</v>
      </c>
      <c r="J5" t="n">
        <v>33.99</v>
      </c>
      <c r="K5" t="n">
        <v>34.11</v>
      </c>
      <c r="L5" t="n">
        <v>0.013</v>
      </c>
      <c r="M5" t="n">
        <v>0.095</v>
      </c>
      <c r="N5" t="n">
        <v>144.8</v>
      </c>
      <c r="O5" t="inlineStr">
        <is>
          <t>NW (Anteromedial)</t>
        </is>
      </c>
      <c r="P5" t="n">
        <v>18.6</v>
      </c>
      <c r="Q5" t="n">
        <v>33.9</v>
      </c>
      <c r="R5" t="n">
        <v>34.04</v>
      </c>
      <c r="S5" t="n">
        <v>0.065</v>
      </c>
      <c r="T5" t="n">
        <v>0.222</v>
      </c>
      <c r="U5" t="n">
        <v>33.8</v>
      </c>
      <c r="V5" t="inlineStr">
        <is>
          <t>NE (Anterolateral)</t>
        </is>
      </c>
      <c r="W5" t="n">
        <v>33.6</v>
      </c>
    </row>
    <row r="6">
      <c r="A6" t="inlineStr">
        <is>
          <t>FLIR0205</t>
        </is>
      </c>
      <c r="B6" t="inlineStr">
        <is>
          <t>Right</t>
        </is>
      </c>
      <c r="C6" t="n">
        <v>35.08</v>
      </c>
      <c r="D6" t="n">
        <v>35.99</v>
      </c>
      <c r="E6" t="n">
        <v>0.218</v>
      </c>
      <c r="F6" t="n">
        <v>0.638</v>
      </c>
      <c r="G6" t="n">
        <v>70.7</v>
      </c>
      <c r="H6" t="inlineStr">
        <is>
          <t>N (Distal / Toes)</t>
        </is>
      </c>
      <c r="I6" t="n">
        <v>60.1</v>
      </c>
      <c r="J6" t="n">
        <v>34.99</v>
      </c>
      <c r="K6" t="n">
        <v>35.27</v>
      </c>
      <c r="L6" t="n">
        <v>0.057</v>
      </c>
      <c r="M6" t="n">
        <v>0.503</v>
      </c>
      <c r="N6" t="n">
        <v>145.4</v>
      </c>
      <c r="O6" t="inlineStr">
        <is>
          <t>NW (Anteromedial)</t>
        </is>
      </c>
      <c r="P6" t="n">
        <v>21.5</v>
      </c>
      <c r="Q6" t="n">
        <v>34.97</v>
      </c>
      <c r="R6" t="n">
        <v>35.11</v>
      </c>
      <c r="S6" t="n">
        <v>0.065</v>
      </c>
      <c r="T6" t="n">
        <v>0.216</v>
      </c>
      <c r="U6" t="n">
        <v>15.1</v>
      </c>
      <c r="V6" t="inlineStr">
        <is>
          <t>E (Lateral)</t>
        </is>
      </c>
      <c r="W6" t="n">
        <v>27.8</v>
      </c>
    </row>
    <row r="7">
      <c r="A7" t="inlineStr">
        <is>
          <t>FLIR0206</t>
        </is>
      </c>
      <c r="B7" t="inlineStr">
        <is>
          <t>Right</t>
        </is>
      </c>
      <c r="C7" t="n">
        <v>35.7</v>
      </c>
      <c r="D7" t="n">
        <v>36.2</v>
      </c>
      <c r="E7" t="n">
        <v>0.208</v>
      </c>
      <c r="F7" t="n">
        <v>0.5649999999999999</v>
      </c>
      <c r="G7" t="n">
        <v>106.2</v>
      </c>
      <c r="H7" t="inlineStr">
        <is>
          <t>N (Distal / Toes)</t>
        </is>
      </c>
      <c r="I7" t="n">
        <v>34.4</v>
      </c>
      <c r="J7" t="n">
        <v>35.15</v>
      </c>
      <c r="K7" t="n">
        <v>35.92</v>
      </c>
      <c r="L7" t="n">
        <v>0.152</v>
      </c>
      <c r="M7" t="n">
        <v>0.316</v>
      </c>
      <c r="N7" t="n">
        <v>216.9</v>
      </c>
      <c r="O7" t="inlineStr">
        <is>
          <t>SW (Posteromedial)</t>
        </is>
      </c>
      <c r="P7" t="n">
        <v>73.40000000000001</v>
      </c>
      <c r="Q7" t="n">
        <v>35.65</v>
      </c>
      <c r="R7" t="n">
        <v>35.99</v>
      </c>
      <c r="S7" t="n">
        <v>0.152</v>
      </c>
      <c r="T7" t="n">
        <v>0.217</v>
      </c>
      <c r="U7" t="n">
        <v>277.9</v>
      </c>
      <c r="V7" t="inlineStr">
        <is>
          <t>S (Proximal / Heel)</t>
        </is>
      </c>
      <c r="W7" t="n">
        <v>27.5</v>
      </c>
    </row>
    <row r="8">
      <c r="A8" t="inlineStr">
        <is>
          <t>FLIR0207</t>
        </is>
      </c>
      <c r="B8" t="inlineStr">
        <is>
          <t>Right</t>
        </is>
      </c>
      <c r="C8" t="n">
        <v>34.78</v>
      </c>
      <c r="D8" t="n">
        <v>35.98</v>
      </c>
      <c r="E8" t="n">
        <v>0.262</v>
      </c>
      <c r="F8" t="n">
        <v>0.711</v>
      </c>
      <c r="G8" t="n">
        <v>60.2</v>
      </c>
      <c r="H8" t="inlineStr">
        <is>
          <t>NE (Anterolateral)</t>
        </is>
      </c>
      <c r="I8" t="n">
        <v>77.2</v>
      </c>
      <c r="J8" t="n">
        <v>35.09</v>
      </c>
      <c r="K8" t="n">
        <v>35.71</v>
      </c>
      <c r="L8" t="n">
        <v>0.116</v>
      </c>
      <c r="M8" t="n">
        <v>0.339</v>
      </c>
      <c r="N8" t="n">
        <v>78</v>
      </c>
      <c r="O8" t="inlineStr">
        <is>
          <t>N (Distal / Toes)</t>
        </is>
      </c>
      <c r="P8" t="n">
        <v>31.4</v>
      </c>
      <c r="Q8" t="n">
        <v>35.31</v>
      </c>
      <c r="R8" t="n">
        <v>35.83</v>
      </c>
      <c r="S8" t="n">
        <v>0.129</v>
      </c>
      <c r="T8" t="n">
        <v>0.233</v>
      </c>
      <c r="U8" t="n">
        <v>117.3</v>
      </c>
      <c r="V8" t="inlineStr">
        <is>
          <t>NW (Anteromedial)</t>
        </is>
      </c>
      <c r="W8" t="n">
        <v>40.5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38" customWidth="1" min="4" max="4"/>
    <col width="16" customWidth="1" min="5" max="5"/>
    <col width="35" customWidth="1" min="6" max="6"/>
    <col width="35" customWidth="1" min="7" max="7"/>
  </cols>
  <sheetData>
    <row r="1" ht="36" customHeight="1">
      <c r="A1" s="27" t="inlineStr">
        <is>
          <t>📖 PANDUAN METODOLOGI &amp; INTERPRETASI METRIK TERMAL (PPP, PPG, PGA)</t>
        </is>
      </c>
    </row>
    <row r="2" ht="22" customHeight="1">
      <c r="A2" s="28" t="inlineStr">
        <is>
          <t>ThermalSight v1.8.3 • Diabetic Foot Thermal Biomechanics Evaluation Suite</t>
        </is>
      </c>
    </row>
    <row r="4">
      <c r="A4" s="29" t="inlineStr">
        <is>
          <t>1. TRIAD METRIK TERMAL TELAPAK KAKI (RINGKASAN EKSEKUTIF)</t>
        </is>
      </c>
    </row>
    <row r="5" ht="24" customHeight="1">
      <c r="A5" s="30" t="inlineStr">
        <is>
          <t>Pilar</t>
        </is>
      </c>
      <c r="B5" s="30" t="inlineStr">
        <is>
          <t>Metrik Singkat</t>
        </is>
      </c>
      <c r="C5" s="30" t="inlineStr">
        <is>
          <t>Pertanyaan Inti</t>
        </is>
      </c>
      <c r="D5" s="30" t="inlineStr">
        <is>
          <t>Karakteristik Data</t>
        </is>
      </c>
      <c r="E5" s="30" t="inlineStr">
        <is>
          <t>Satuan</t>
        </is>
      </c>
      <c r="F5" s="30" t="inlineStr">
        <is>
          <t>Formula Dasar</t>
        </is>
      </c>
      <c r="G5" s="30" t="inlineStr">
        <is>
          <t>Fungsi Diagnostik</t>
        </is>
      </c>
    </row>
    <row r="6" ht="30" customHeight="1">
      <c r="A6" s="31" t="inlineStr">
        <is>
          <t>Pilar 1</t>
        </is>
      </c>
      <c r="B6" s="31" t="inlineStr">
        <is>
          <t>PPP</t>
        </is>
      </c>
      <c r="C6" s="32" t="inlineStr">
        <is>
          <t>Seberapa panas titik tersebut?</t>
        </is>
      </c>
      <c r="D6" s="32" t="inlineStr">
        <is>
          <t>Nilai Suhu Absolut (Max, Min, Mean, Std)</t>
        </is>
      </c>
      <c r="E6" s="31" t="inlineStr">
        <is>
          <t>°C</t>
        </is>
      </c>
      <c r="F6" s="32" t="inlineStr">
        <is>
          <t>T_peak = max(T), T_mean = sum(T)/N</t>
        </is>
      </c>
      <c r="G6" s="32" t="inlineStr">
        <is>
          <t>Mendeteksi hotspot fokal hiperemia &amp; skrining asimetri bilateral (ΔT &gt; 2.2°C).</t>
        </is>
      </c>
    </row>
    <row r="7" ht="30" customHeight="1">
      <c r="A7" s="33" t="inlineStr">
        <is>
          <t>Pilar 2</t>
        </is>
      </c>
      <c r="B7" s="33" t="inlineStr">
        <is>
          <t>PPG</t>
        </is>
      </c>
      <c r="C7" s="34" t="inlineStr">
        <is>
          <t>Seberapa tajam beda suhunya?</t>
        </is>
      </c>
      <c r="D7" s="34" t="inlineStr">
        <is>
          <t>Laju Kemiringan Spasial Gradien Suhu</t>
        </is>
      </c>
      <c r="E7" s="33" t="inlineStr">
        <is>
          <t>°C/cm atau px</t>
        </is>
      </c>
      <c r="F7" s="34" t="inlineStr">
        <is>
          <t>||∇T|| = sqrt(Gx^2 + Gy^2) [Sobel 2D]</t>
        </is>
      </c>
      <c r="G7" s="34" t="inlineStr">
        <is>
          <t>Membedakan panas menyeluruh normal vs batas fokal peradangan akut/osteomielitis.</t>
        </is>
      </c>
    </row>
    <row r="8" ht="30" customHeight="1">
      <c r="A8" s="31" t="inlineStr">
        <is>
          <t>Pilar 3</t>
        </is>
      </c>
      <c r="B8" s="31" t="inlineStr">
        <is>
          <t>PGA</t>
        </is>
      </c>
      <c r="C8" s="32" t="inlineStr">
        <is>
          <t>Ke mana arah menjalarnya panas?</t>
        </is>
      </c>
      <c r="D8" s="32" t="inlineStr">
        <is>
          <t>Vektor Orientasi Disipasi Kalor</t>
        </is>
      </c>
      <c r="E8" s="31" t="inlineStr">
        <is>
          <t>Derajat &amp; Kompas</t>
        </is>
      </c>
      <c r="F8" s="32" t="inlineStr">
        <is>
          <t>θ = arctan2(Gy, Gx) % 360°</t>
        </is>
      </c>
      <c r="G8" s="32" t="inlineStr">
        <is>
          <t>Memetakan arah rambatan perfusi vaskular ke arah distal jari atau proksimal tumit.</t>
        </is>
      </c>
    </row>
    <row r="10">
      <c r="A10" s="29" t="inlineStr">
        <is>
          <t>2. ALASAN PEMILIHAN AREA ANATOMIS (T1, M1, M2) &amp; RADIUS 9×9</t>
        </is>
      </c>
    </row>
    <row r="11" ht="24" customHeight="1">
      <c r="A11" s="35" t="inlineStr">
        <is>
          <t>Titik Anatomis</t>
        </is>
      </c>
      <c r="B11" s="35" t="inlineStr">
        <is>
          <t>Nama Wilayah</t>
        </is>
      </c>
      <c r="C11" s="35" t="inlineStr">
        <is>
          <t>Zona Fisiologis</t>
        </is>
      </c>
      <c r="D11" s="35" t="inlineStr">
        <is>
          <t>Alasan Pemilihan Klinis &amp; Biomekanika</t>
        </is>
      </c>
    </row>
    <row r="12" ht="32" customHeight="1">
      <c r="A12" s="36" t="inlineStr">
        <is>
          <t>T1</t>
        </is>
      </c>
      <c r="B12" s="37" t="inlineStr">
        <is>
          <t>Hallux (Jempol Kaki)</t>
        </is>
      </c>
      <c r="C12" s="36" t="inlineStr">
        <is>
          <t>Forefoot / Distal</t>
        </is>
      </c>
      <c r="D12" s="38" t="inlineStr">
        <is>
          <t>Area kontak tumpuan akhir saat fase dorongan melangkah (push-off). Sangat rentan gesekan mekanis berulang dan mikrotrauma neuropatik.</t>
        </is>
      </c>
      <c r="E12" s="39" t="n"/>
      <c r="F12" s="39" t="n"/>
      <c r="G12" s="39" t="n"/>
    </row>
    <row r="13" ht="32" customHeight="1">
      <c r="A13" s="36" t="inlineStr">
        <is>
          <t>M1</t>
        </is>
      </c>
      <c r="B13" s="37" t="inlineStr">
        <is>
          <t>Caput Metatarsal 1</t>
        </is>
      </c>
      <c r="C13" s="36" t="inlineStr">
        <is>
          <t>Forefoot / Medial</t>
        </is>
      </c>
      <c r="D13" s="38" t="inlineStr">
        <is>
          <t>Titik tumpuan beban puncak tertinggi (peak plantar pressure) pada telapak kaki bagian dalam. Lokasi statistik nomor 1 kejadian ulkus diabetik.</t>
        </is>
      </c>
      <c r="E13" s="39" t="n"/>
      <c r="F13" s="39" t="n"/>
      <c r="G13" s="39" t="n"/>
    </row>
    <row r="14" ht="32" customHeight="1">
      <c r="A14" s="36" t="inlineStr">
        <is>
          <t>M2</t>
        </is>
      </c>
      <c r="B14" s="37" t="inlineStr">
        <is>
          <t>Caput Metatarsal 2</t>
        </is>
      </c>
      <c r="C14" s="36" t="inlineStr">
        <is>
          <t>Forefoot / Central</t>
        </is>
      </c>
      <c r="D14" s="38" t="inlineStr">
        <is>
          <t>Pusat distribusi arkus transversus. Area paling sering mengalami keruntuhan sendi metatarsal pada fase awal neuropatik Charcot Foot.</t>
        </is>
      </c>
      <c r="E14" s="39" t="n"/>
      <c r="F14" s="39" t="n"/>
      <c r="G14" s="39" t="n"/>
    </row>
    <row r="15" ht="32" customHeight="1">
      <c r="A15" s="36" t="inlineStr">
        <is>
          <t>Radius 9×9</t>
        </is>
      </c>
      <c r="B15" s="37" t="inlineStr">
        <is>
          <t>Standar Grid 81 Sel</t>
        </is>
      </c>
      <c r="C15" s="36" t="inlineStr">
        <is>
          <t>1.2 cm Kontak Riil</t>
        </is>
      </c>
      <c r="D15" s="38" t="inlineStr">
        <is>
          <t>Radius 4.5 sel (diameter 9 sel) dikunci dinamis ke skala fisik 1.2 cm. Menjamin flux termal setara antar pasien tanpa bias jarak kamera.</t>
        </is>
      </c>
      <c r="E15" s="39" t="n"/>
      <c r="F15" s="39" t="n"/>
      <c r="G15" s="39" t="n"/>
    </row>
  </sheetData>
  <mergeCells count="7">
    <mergeCell ref="A1:G1"/>
    <mergeCell ref="D12:G12"/>
    <mergeCell ref="A2:G2"/>
    <mergeCell ref="D15:G15"/>
    <mergeCell ref="D13:G13"/>
    <mergeCell ref="D11:G11"/>
    <mergeCell ref="D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2026-10-14T06:07:36Z</dcterms:created>
  <dcterms:modified xmlns:dcterms="http://purl.org/dc/terms/" xmlns:xsi="http://www.w3.org/2001/XMLSchema-instance" xsi:type="dcterms:W3CDTF">2026-10-14T06:07:36Z</dcterms:modified>
</cp:coreProperties>
</file>